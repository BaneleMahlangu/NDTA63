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lplaatjeuniversity-my.sharepoint.com/personal/202117050_spu_ac_za/Documents/Documents/NDTA631-UNISWAP-THABISO THABANG MOLAHLOE/DOX/"/>
    </mc:Choice>
  </mc:AlternateContent>
  <xr:revisionPtr revIDLastSave="0" documentId="8_{FB122307-33F1-49AE-8C8B-98AE5F785EFA}" xr6:coauthVersionLast="47" xr6:coauthVersionMax="47" xr10:uidLastSave="{00000000-0000-0000-0000-000000000000}"/>
  <bookViews>
    <workbookView xWindow="-108" yWindow="-108" windowWidth="23256" windowHeight="12456" tabRatio="500" firstSheet="3" activeTab="4" xr2:uid="{00000000-000D-0000-FFFF-FFFF00000000}"/>
  </bookViews>
  <sheets>
    <sheet name="Cleaned_Undernourishment_ZAF" sheetId="2" r:id="rId1"/>
    <sheet name="Cleaned_HCI_ZAF" sheetId="3" r:id="rId2"/>
    <sheet name="Cleaned_Under5Mortality_ZAF" sheetId="4" r:id="rId3"/>
    <sheet name="Cleaned_WaterAccess_ZAF" sheetId="5" r:id="rId4"/>
    <sheet name="Combined_SA_Timeseries" sheetId="6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6" l="1"/>
  <c r="B31" i="6"/>
  <c r="B30" i="6"/>
  <c r="B29" i="6"/>
  <c r="B28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" i="3"/>
  <c r="E4" i="3"/>
  <c r="E3" i="3"/>
  <c r="E2" i="3"/>
</calcChain>
</file>

<file path=xl/sharedStrings.xml><?xml version="1.0" encoding="utf-8"?>
<sst xmlns="http://schemas.openxmlformats.org/spreadsheetml/2006/main" count="52" uniqueCount="26">
  <si>
    <t>Year</t>
  </si>
  <si>
    <t>Undernourishment (% of population)</t>
  </si>
  <si>
    <t>Data Status</t>
  </si>
  <si>
    <t>Normal value</t>
  </si>
  <si>
    <t>HCI (Value A)</t>
  </si>
  <si>
    <t>HCI (Value B)</t>
  </si>
  <si>
    <t>HCI (Value C)</t>
  </si>
  <si>
    <t>HCI — Median</t>
  </si>
  <si>
    <t>Under-5 Mortality (Value A)</t>
  </si>
  <si>
    <t>Under-5 Mortality (Value B)</t>
  </si>
  <si>
    <t>Under-5 Mortality (Value C)</t>
  </si>
  <si>
    <t>Under-5 Mortality — Median</t>
  </si>
  <si>
    <t>Water Access % (Value A)</t>
  </si>
  <si>
    <t>Water Access % (Value B)</t>
  </si>
  <si>
    <t>Water Access % (Value C)</t>
  </si>
  <si>
    <t>Water Access % — Median</t>
  </si>
  <si>
    <t>Undernourishment (%)</t>
  </si>
  <si>
    <t>Human Capital Index</t>
  </si>
  <si>
    <t>Under-5 Mortality (per 1,000)</t>
  </si>
  <si>
    <t>Basic Water Access (%)</t>
  </si>
  <si>
    <t>Summary (live formulas)</t>
  </si>
  <si>
    <t>Mean Undernourishment (%)</t>
  </si>
  <si>
    <t>Latest year Undernourishment (%)</t>
  </si>
  <si>
    <t>2001 Undernourishment (%)</t>
  </si>
  <si>
    <t>Change 2001 -&gt; latest (pp)</t>
  </si>
  <si>
    <t>Correlation: Undernourishment vs HCI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</si>
</sst>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+0.0;\-0.0"/>
  </numFmts>
  <fonts count="7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888888"/>
      <name val="Arial"/>
      <charset val="1"/>
    </font>
    <font>
      <i/>
      <sz val="9"/>
      <color rgb="FF888888"/>
      <name val="Arial"/>
      <charset val="1"/>
    </font>
    <font>
      <b/>
      <sz val="11"/>
      <color rgb="FF1B365D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5" fontId="1" fillId="3" borderId="1" xfId="0" applyNumberFormat="1" applyFont="1" applyFill="1" applyBorder="1"/>
    <xf numFmtId="165" fontId="1" fillId="4" borderId="1" xfId="0" applyNumberFormat="1" applyFont="1" applyFill="1" applyBorder="1"/>
    <xf numFmtId="0" fontId="3" fillId="0" borderId="0" xfId="0" applyFont="1"/>
    <xf numFmtId="0" fontId="5" fillId="0" borderId="0" xfId="0" applyFont="1"/>
    <xf numFmtId="0" fontId="1" fillId="0" borderId="0" xfId="0" applyFont="1"/>
    <xf numFmtId="164" fontId="6" fillId="0" borderId="0" xfId="0" applyNumberFormat="1" applyFont="1"/>
    <xf numFmtId="166" fontId="6" fillId="0" borderId="0" xfId="0" applyNumberFormat="1" applyFont="1"/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88888"/>
      <rgbColor rgb="FF1B365D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alibri"/>
              </a:rPr>
              <a:t>South Africa: Undernourishment vs Human Capital Index (2001-2023)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Combined_SA_Timeseries!$B$1</c:f>
              <c:strCache>
                <c:ptCount val="1"/>
                <c:pt idx="0">
                  <c:v>Undernourishment (%)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Combined_SA_Timeseries!$A$2:$A$24</c:f>
              <c:numCache>
                <c:formatCode>General</c:formatCode>
                <c:ptCount val="23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</c:numCache>
            </c:numRef>
          </c:cat>
          <c:val>
            <c:numRef>
              <c:f>Combined_SA_Timeseries!$B$2:$B$24</c:f>
              <c:numCache>
                <c:formatCode>0.0</c:formatCode>
                <c:ptCount val="23"/>
                <c:pt idx="0">
                  <c:v>3.6</c:v>
                </c:pt>
                <c:pt idx="1">
                  <c:v>3.5</c:v>
                </c:pt>
                <c:pt idx="2">
                  <c:v>3.4</c:v>
                </c:pt>
                <c:pt idx="3">
                  <c:v>3.3</c:v>
                </c:pt>
                <c:pt idx="4">
                  <c:v>3.3</c:v>
                </c:pt>
                <c:pt idx="5">
                  <c:v>3.4</c:v>
                </c:pt>
                <c:pt idx="6">
                  <c:v>3.5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5.2</c:v>
                </c:pt>
                <c:pt idx="12">
                  <c:v>5.6</c:v>
                </c:pt>
                <c:pt idx="13">
                  <c:v>6.4</c:v>
                </c:pt>
                <c:pt idx="14">
                  <c:v>6.6</c:v>
                </c:pt>
                <c:pt idx="15">
                  <c:v>6.4</c:v>
                </c:pt>
                <c:pt idx="16">
                  <c:v>6.1</c:v>
                </c:pt>
                <c:pt idx="17">
                  <c:v>6.4</c:v>
                </c:pt>
                <c:pt idx="18">
                  <c:v>7.2</c:v>
                </c:pt>
                <c:pt idx="19">
                  <c:v>8.6</c:v>
                </c:pt>
                <c:pt idx="20">
                  <c:v>9.4</c:v>
                </c:pt>
                <c:pt idx="21">
                  <c:v>10</c:v>
                </c:pt>
                <c:pt idx="22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2C-4944-A5CC-1DA3208D2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497876"/>
        <c:axId val="86807970"/>
      </c:lineChart>
      <c:catAx>
        <c:axId val="324978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07970"/>
        <c:crosses val="autoZero"/>
        <c:auto val="1"/>
        <c:lblAlgn val="ctr"/>
        <c:lblOffset val="100"/>
        <c:noMultiLvlLbl val="0"/>
      </c:catAx>
      <c:valAx>
        <c:axId val="868079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ZA" sz="1000" b="1" strike="noStrike" spc="-1">
                    <a:solidFill>
                      <a:srgbClr val="000000"/>
                    </a:solidFill>
                    <a:latin typeface="Calibri"/>
                  </a:rPr>
                  <a:t>Undernourishment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4978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39960</xdr:rowOff>
    </xdr:from>
    <xdr:to>
      <xdr:col>5</xdr:col>
      <xdr:colOff>840960</xdr:colOff>
      <xdr:row>48</xdr:row>
      <xdr:rowOff>62280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3" width="20" customWidth="1"/>
  </cols>
  <sheetData>
    <row r="1" spans="1:3" ht="27.6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2001</v>
      </c>
      <c r="B2" s="4">
        <v>3.6</v>
      </c>
      <c r="C2" s="3" t="s">
        <v>3</v>
      </c>
    </row>
    <row r="3" spans="1:3" x14ac:dyDescent="0.3">
      <c r="A3" s="5">
        <v>2002</v>
      </c>
      <c r="B3" s="6">
        <v>3.5</v>
      </c>
      <c r="C3" s="5" t="s">
        <v>3</v>
      </c>
    </row>
    <row r="4" spans="1:3" x14ac:dyDescent="0.3">
      <c r="A4" s="3">
        <v>2003</v>
      </c>
      <c r="B4" s="4">
        <v>3.4</v>
      </c>
      <c r="C4" s="3" t="s">
        <v>3</v>
      </c>
    </row>
    <row r="5" spans="1:3" x14ac:dyDescent="0.3">
      <c r="A5" s="5">
        <v>2004</v>
      </c>
      <c r="B5" s="6">
        <v>3.3</v>
      </c>
      <c r="C5" s="5" t="s">
        <v>3</v>
      </c>
    </row>
    <row r="6" spans="1:3" x14ac:dyDescent="0.3">
      <c r="A6" s="3">
        <v>2005</v>
      </c>
      <c r="B6" s="4">
        <v>3.3</v>
      </c>
      <c r="C6" s="3" t="s">
        <v>3</v>
      </c>
    </row>
    <row r="7" spans="1:3" x14ac:dyDescent="0.3">
      <c r="A7" s="5">
        <v>2006</v>
      </c>
      <c r="B7" s="6">
        <v>3.4</v>
      </c>
      <c r="C7" s="5" t="s">
        <v>3</v>
      </c>
    </row>
    <row r="8" spans="1:3" x14ac:dyDescent="0.3">
      <c r="A8" s="3">
        <v>2007</v>
      </c>
      <c r="B8" s="4">
        <v>3.5</v>
      </c>
      <c r="C8" s="3" t="s">
        <v>3</v>
      </c>
    </row>
    <row r="9" spans="1:3" x14ac:dyDescent="0.3">
      <c r="A9" s="5">
        <v>2008</v>
      </c>
      <c r="B9" s="6">
        <v>3.5</v>
      </c>
      <c r="C9" s="5" t="s">
        <v>3</v>
      </c>
    </row>
    <row r="10" spans="1:3" x14ac:dyDescent="0.3">
      <c r="A10" s="3">
        <v>2009</v>
      </c>
      <c r="B10" s="4">
        <v>4</v>
      </c>
      <c r="C10" s="3" t="s">
        <v>3</v>
      </c>
    </row>
    <row r="11" spans="1:3" x14ac:dyDescent="0.3">
      <c r="A11" s="5">
        <v>2010</v>
      </c>
      <c r="B11" s="6">
        <v>4.5</v>
      </c>
      <c r="C11" s="5" t="s">
        <v>3</v>
      </c>
    </row>
    <row r="12" spans="1:3" x14ac:dyDescent="0.3">
      <c r="A12" s="3">
        <v>2011</v>
      </c>
      <c r="B12" s="4">
        <v>5</v>
      </c>
      <c r="C12" s="3" t="s">
        <v>3</v>
      </c>
    </row>
    <row r="13" spans="1:3" x14ac:dyDescent="0.3">
      <c r="A13" s="5">
        <v>2012</v>
      </c>
      <c r="B13" s="6">
        <v>5.2</v>
      </c>
      <c r="C13" s="5" t="s">
        <v>3</v>
      </c>
    </row>
    <row r="14" spans="1:3" x14ac:dyDescent="0.3">
      <c r="A14" s="3">
        <v>2013</v>
      </c>
      <c r="B14" s="4">
        <v>5.6</v>
      </c>
      <c r="C14" s="3" t="s">
        <v>3</v>
      </c>
    </row>
    <row r="15" spans="1:3" x14ac:dyDescent="0.3">
      <c r="A15" s="5">
        <v>2014</v>
      </c>
      <c r="B15" s="6">
        <v>6.4</v>
      </c>
      <c r="C15" s="5" t="s">
        <v>3</v>
      </c>
    </row>
    <row r="16" spans="1:3" x14ac:dyDescent="0.3">
      <c r="A16" s="3">
        <v>2015</v>
      </c>
      <c r="B16" s="4">
        <v>6.6</v>
      </c>
      <c r="C16" s="3" t="s">
        <v>3</v>
      </c>
    </row>
    <row r="17" spans="1:3" x14ac:dyDescent="0.3">
      <c r="A17" s="5">
        <v>2016</v>
      </c>
      <c r="B17" s="6">
        <v>6.4</v>
      </c>
      <c r="C17" s="5" t="s">
        <v>3</v>
      </c>
    </row>
    <row r="18" spans="1:3" x14ac:dyDescent="0.3">
      <c r="A18" s="3">
        <v>2017</v>
      </c>
      <c r="B18" s="4">
        <v>6.1</v>
      </c>
      <c r="C18" s="3" t="s">
        <v>3</v>
      </c>
    </row>
    <row r="19" spans="1:3" x14ac:dyDescent="0.3">
      <c r="A19" s="5">
        <v>2018</v>
      </c>
      <c r="B19" s="6">
        <v>6.4</v>
      </c>
      <c r="C19" s="5" t="s">
        <v>3</v>
      </c>
    </row>
    <row r="20" spans="1:3" x14ac:dyDescent="0.3">
      <c r="A20" s="3">
        <v>2019</v>
      </c>
      <c r="B20" s="4">
        <v>7.2</v>
      </c>
      <c r="C20" s="3" t="s">
        <v>3</v>
      </c>
    </row>
    <row r="21" spans="1:3" x14ac:dyDescent="0.3">
      <c r="A21" s="5">
        <v>2020</v>
      </c>
      <c r="B21" s="6">
        <v>8.6</v>
      </c>
      <c r="C21" s="5" t="s">
        <v>3</v>
      </c>
    </row>
    <row r="22" spans="1:3" x14ac:dyDescent="0.3">
      <c r="A22" s="3">
        <v>2021</v>
      </c>
      <c r="B22" s="4">
        <v>9.4</v>
      </c>
      <c r="C22" s="3" t="s">
        <v>3</v>
      </c>
    </row>
    <row r="23" spans="1:3" x14ac:dyDescent="0.3">
      <c r="A23" s="5">
        <v>2022</v>
      </c>
      <c r="B23" s="6">
        <v>10</v>
      </c>
      <c r="C23" s="5" t="s">
        <v>3</v>
      </c>
    </row>
    <row r="24" spans="1:3" x14ac:dyDescent="0.3">
      <c r="A24" s="3">
        <v>2023</v>
      </c>
      <c r="B24" s="4">
        <v>10</v>
      </c>
      <c r="C24" s="3" t="s">
        <v>3</v>
      </c>
    </row>
  </sheetData>
  <conditionalFormatting sqref="B2:B24">
    <cfRule type="colorScale" priority="2">
      <colorScale>
        <cfvo type="min"/>
        <cfvo type="percentile" val="50"/>
        <cfvo type="max"/>
        <color rgb="FF1A9850"/>
        <color rgb="FFFEE08B"/>
        <color rgb="FFD7302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>
      <pane ySplit="1" topLeftCell="A2" activePane="bottomLeft" state="frozen"/>
      <selection pane="bottomLeft" activeCell="A7" sqref="A7"/>
    </sheetView>
  </sheetViews>
  <sheetFormatPr defaultColWidth="8.6640625" defaultRowHeight="14.4" x14ac:dyDescent="0.3"/>
  <cols>
    <col min="1" max="1" width="10" customWidth="1"/>
    <col min="2" max="4" width="14" customWidth="1"/>
    <col min="5" max="5" width="16" customWidth="1"/>
  </cols>
  <sheetData>
    <row r="1" spans="1:5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s="3">
        <v>2010</v>
      </c>
      <c r="B2" s="7">
        <v>0.41766422990000002</v>
      </c>
      <c r="C2" s="7">
        <v>0.42533832789999998</v>
      </c>
      <c r="D2" s="7">
        <v>0.43837645650000001</v>
      </c>
      <c r="E2" s="7">
        <f>MEDIAN(B2:D2)</f>
        <v>0.42533832789999998</v>
      </c>
    </row>
    <row r="3" spans="1:5" x14ac:dyDescent="0.3">
      <c r="A3" s="5">
        <v>2017</v>
      </c>
      <c r="B3" s="8">
        <v>0.36199999999999999</v>
      </c>
      <c r="C3" s="8">
        <v>0.40600000000000003</v>
      </c>
      <c r="D3" s="8">
        <v>0.40799999999999997</v>
      </c>
      <c r="E3" s="8">
        <f>MEDIAN(B3:D3)</f>
        <v>0.40600000000000003</v>
      </c>
    </row>
    <row r="4" spans="1:5" x14ac:dyDescent="0.3">
      <c r="A4" s="3">
        <v>2018</v>
      </c>
      <c r="B4" s="7">
        <v>0.40294522049999998</v>
      </c>
      <c r="C4" s="7">
        <v>0.42254933709999998</v>
      </c>
      <c r="D4" s="7">
        <v>0.44305387140000002</v>
      </c>
      <c r="E4" s="7">
        <f>MEDIAN(B4:D4)</f>
        <v>0.42254933709999998</v>
      </c>
    </row>
    <row r="5" spans="1:5" x14ac:dyDescent="0.3">
      <c r="A5" s="5">
        <v>2020</v>
      </c>
      <c r="B5" s="8">
        <v>0.40608772640000002</v>
      </c>
      <c r="C5" s="8">
        <v>0.42545339469999999</v>
      </c>
      <c r="D5" s="8">
        <v>0.44556194539999999</v>
      </c>
      <c r="E5" s="8">
        <f>MEDIAN(B5:D5)</f>
        <v>0.42545339469999999</v>
      </c>
    </row>
    <row r="7" spans="1:5" ht="32.85" customHeight="1" x14ac:dyDescent="0.3">
      <c r="A7" s="9"/>
      <c r="B7" s="1"/>
      <c r="C7" s="1"/>
      <c r="D7" s="1"/>
      <c r="E7" s="1"/>
    </row>
  </sheetData>
  <mergeCells count="1">
    <mergeCell ref="B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zoomScaleNormal="100" workbookViewId="0">
      <pane ySplit="1" topLeftCell="A44" activePane="bottomLeft" state="frozen"/>
      <selection pane="bottomLeft" activeCell="A52" sqref="A52"/>
    </sheetView>
  </sheetViews>
  <sheetFormatPr defaultColWidth="8.6640625" defaultRowHeight="14.4" x14ac:dyDescent="0.3"/>
  <cols>
    <col min="1" max="1" width="10" customWidth="1"/>
    <col min="2" max="4" width="14" customWidth="1"/>
    <col min="5" max="5" width="16" customWidth="1"/>
  </cols>
  <sheetData>
    <row r="1" spans="1:5" ht="41.4" x14ac:dyDescent="0.3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3">
      <c r="A2" s="3">
        <v>1974</v>
      </c>
      <c r="B2" s="4">
        <v>122.1</v>
      </c>
      <c r="C2" s="4">
        <v>129.30000000000001</v>
      </c>
      <c r="D2" s="4">
        <v>136.19999999999999</v>
      </c>
      <c r="E2" s="4">
        <f t="shared" ref="E2:E33" si="0">MEDIAN(B2:D2)</f>
        <v>129.30000000000001</v>
      </c>
    </row>
    <row r="3" spans="1:5" x14ac:dyDescent="0.3">
      <c r="A3" s="5">
        <v>1975</v>
      </c>
      <c r="B3" s="6">
        <v>115.8</v>
      </c>
      <c r="C3" s="6">
        <v>122.9</v>
      </c>
      <c r="D3" s="6">
        <v>129.5</v>
      </c>
      <c r="E3" s="6">
        <f t="shared" si="0"/>
        <v>122.9</v>
      </c>
    </row>
    <row r="4" spans="1:5" x14ac:dyDescent="0.3">
      <c r="A4" s="3">
        <v>1976</v>
      </c>
      <c r="B4" s="4">
        <v>109.8</v>
      </c>
      <c r="C4" s="4">
        <v>116.7</v>
      </c>
      <c r="D4" s="4">
        <v>123.1</v>
      </c>
      <c r="E4" s="4">
        <f t="shared" si="0"/>
        <v>116.7</v>
      </c>
    </row>
    <row r="5" spans="1:5" x14ac:dyDescent="0.3">
      <c r="A5" s="5">
        <v>1977</v>
      </c>
      <c r="B5" s="6">
        <v>103.9</v>
      </c>
      <c r="C5" s="6">
        <v>110.7</v>
      </c>
      <c r="D5" s="6">
        <v>117.1</v>
      </c>
      <c r="E5" s="6">
        <f t="shared" si="0"/>
        <v>110.7</v>
      </c>
    </row>
    <row r="6" spans="1:5" x14ac:dyDescent="0.3">
      <c r="A6" s="3">
        <v>1978</v>
      </c>
      <c r="B6" s="4">
        <v>98.4</v>
      </c>
      <c r="C6" s="4">
        <v>105.1</v>
      </c>
      <c r="D6" s="4">
        <v>111.5</v>
      </c>
      <c r="E6" s="4">
        <f t="shared" si="0"/>
        <v>105.1</v>
      </c>
    </row>
    <row r="7" spans="1:5" x14ac:dyDescent="0.3">
      <c r="A7" s="5">
        <v>1979</v>
      </c>
      <c r="B7" s="6">
        <v>93.3</v>
      </c>
      <c r="C7" s="6">
        <v>99.8</v>
      </c>
      <c r="D7" s="6">
        <v>106</v>
      </c>
      <c r="E7" s="6">
        <f t="shared" si="0"/>
        <v>99.8</v>
      </c>
    </row>
    <row r="8" spans="1:5" x14ac:dyDescent="0.3">
      <c r="A8" s="3">
        <v>1980</v>
      </c>
      <c r="B8" s="4">
        <v>88.5</v>
      </c>
      <c r="C8" s="4">
        <v>94.9</v>
      </c>
      <c r="D8" s="4">
        <v>101</v>
      </c>
      <c r="E8" s="4">
        <f t="shared" si="0"/>
        <v>94.9</v>
      </c>
    </row>
    <row r="9" spans="1:5" x14ac:dyDescent="0.3">
      <c r="A9" s="5">
        <v>1981</v>
      </c>
      <c r="B9" s="6">
        <v>84</v>
      </c>
      <c r="C9" s="6">
        <v>90.3</v>
      </c>
      <c r="D9" s="6">
        <v>96.3</v>
      </c>
      <c r="E9" s="6">
        <f t="shared" si="0"/>
        <v>90.3</v>
      </c>
    </row>
    <row r="10" spans="1:5" x14ac:dyDescent="0.3">
      <c r="A10" s="3">
        <v>1982</v>
      </c>
      <c r="B10" s="4">
        <v>79.900000000000006</v>
      </c>
      <c r="C10" s="4">
        <v>86</v>
      </c>
      <c r="D10" s="4">
        <v>92</v>
      </c>
      <c r="E10" s="4">
        <f t="shared" si="0"/>
        <v>86</v>
      </c>
    </row>
    <row r="11" spans="1:5" x14ac:dyDescent="0.3">
      <c r="A11" s="5">
        <v>1983</v>
      </c>
      <c r="B11" s="6">
        <v>76</v>
      </c>
      <c r="C11" s="6">
        <v>82</v>
      </c>
      <c r="D11" s="6">
        <v>87.9</v>
      </c>
      <c r="E11" s="6">
        <f t="shared" si="0"/>
        <v>82</v>
      </c>
    </row>
    <row r="12" spans="1:5" x14ac:dyDescent="0.3">
      <c r="A12" s="3">
        <v>1984</v>
      </c>
      <c r="B12" s="4">
        <v>72.400000000000006</v>
      </c>
      <c r="C12" s="4">
        <v>78.400000000000006</v>
      </c>
      <c r="D12" s="4">
        <v>84.1</v>
      </c>
      <c r="E12" s="4">
        <f t="shared" si="0"/>
        <v>78.400000000000006</v>
      </c>
    </row>
    <row r="13" spans="1:5" x14ac:dyDescent="0.3">
      <c r="A13" s="5">
        <v>1985</v>
      </c>
      <c r="B13" s="6">
        <v>69.099999999999994</v>
      </c>
      <c r="C13" s="6">
        <v>75</v>
      </c>
      <c r="D13" s="6">
        <v>80.5</v>
      </c>
      <c r="E13" s="6">
        <f t="shared" si="0"/>
        <v>75</v>
      </c>
    </row>
    <row r="14" spans="1:5" x14ac:dyDescent="0.3">
      <c r="A14" s="3">
        <v>1986</v>
      </c>
      <c r="B14" s="4">
        <v>66.2</v>
      </c>
      <c r="C14" s="4">
        <v>71.8</v>
      </c>
      <c r="D14" s="4">
        <v>77.2</v>
      </c>
      <c r="E14" s="4">
        <f t="shared" si="0"/>
        <v>71.8</v>
      </c>
    </row>
    <row r="15" spans="1:5" x14ac:dyDescent="0.3">
      <c r="A15" s="5">
        <v>1987</v>
      </c>
      <c r="B15" s="6">
        <v>63.4</v>
      </c>
      <c r="C15" s="6">
        <v>68.900000000000006</v>
      </c>
      <c r="D15" s="6">
        <v>74.2</v>
      </c>
      <c r="E15" s="6">
        <f t="shared" si="0"/>
        <v>68.900000000000006</v>
      </c>
    </row>
    <row r="16" spans="1:5" x14ac:dyDescent="0.3">
      <c r="A16" s="3">
        <v>1988</v>
      </c>
      <c r="B16" s="4">
        <v>60.9</v>
      </c>
      <c r="C16" s="4">
        <v>66.3</v>
      </c>
      <c r="D16" s="4">
        <v>71.400000000000006</v>
      </c>
      <c r="E16" s="4">
        <f t="shared" si="0"/>
        <v>66.3</v>
      </c>
    </row>
    <row r="17" spans="1:5" x14ac:dyDescent="0.3">
      <c r="A17" s="5">
        <v>1989</v>
      </c>
      <c r="B17" s="6">
        <v>58.9</v>
      </c>
      <c r="C17" s="6">
        <v>64.099999999999994</v>
      </c>
      <c r="D17" s="6">
        <v>69.099999999999994</v>
      </c>
      <c r="E17" s="6">
        <f t="shared" si="0"/>
        <v>64.099999999999994</v>
      </c>
    </row>
    <row r="18" spans="1:5" x14ac:dyDescent="0.3">
      <c r="A18" s="3">
        <v>1990</v>
      </c>
      <c r="B18" s="4">
        <v>57.2</v>
      </c>
      <c r="C18" s="4">
        <v>62.3</v>
      </c>
      <c r="D18" s="4">
        <v>67.2</v>
      </c>
      <c r="E18" s="4">
        <f t="shared" si="0"/>
        <v>62.3</v>
      </c>
    </row>
    <row r="19" spans="1:5" x14ac:dyDescent="0.3">
      <c r="A19" s="5">
        <v>1991</v>
      </c>
      <c r="B19" s="6">
        <v>56</v>
      </c>
      <c r="C19" s="6">
        <v>61</v>
      </c>
      <c r="D19" s="6">
        <v>65.7</v>
      </c>
      <c r="E19" s="6">
        <f t="shared" si="0"/>
        <v>61</v>
      </c>
    </row>
    <row r="20" spans="1:5" x14ac:dyDescent="0.3">
      <c r="A20" s="3">
        <v>1992</v>
      </c>
      <c r="B20" s="4">
        <v>55.4</v>
      </c>
      <c r="C20" s="4">
        <v>60.2</v>
      </c>
      <c r="D20" s="4">
        <v>64.8</v>
      </c>
      <c r="E20" s="4">
        <f t="shared" si="0"/>
        <v>60.2</v>
      </c>
    </row>
    <row r="21" spans="1:5" x14ac:dyDescent="0.3">
      <c r="A21" s="5">
        <v>1993</v>
      </c>
      <c r="B21" s="6">
        <v>55.3</v>
      </c>
      <c r="C21" s="6">
        <v>60</v>
      </c>
      <c r="D21" s="6">
        <v>64.5</v>
      </c>
      <c r="E21" s="6">
        <f t="shared" si="0"/>
        <v>60</v>
      </c>
    </row>
    <row r="22" spans="1:5" x14ac:dyDescent="0.3">
      <c r="A22" s="3">
        <v>1994</v>
      </c>
      <c r="B22" s="4">
        <v>55.8</v>
      </c>
      <c r="C22" s="4">
        <v>60.4</v>
      </c>
      <c r="D22" s="4">
        <v>64.8</v>
      </c>
      <c r="E22" s="4">
        <f t="shared" si="0"/>
        <v>60.4</v>
      </c>
    </row>
    <row r="23" spans="1:5" x14ac:dyDescent="0.3">
      <c r="A23" s="5">
        <v>1995</v>
      </c>
      <c r="B23" s="6">
        <v>56.8</v>
      </c>
      <c r="C23" s="6">
        <v>61.3</v>
      </c>
      <c r="D23" s="6">
        <v>65.599999999999994</v>
      </c>
      <c r="E23" s="6">
        <f t="shared" si="0"/>
        <v>61.3</v>
      </c>
    </row>
    <row r="24" spans="1:5" x14ac:dyDescent="0.3">
      <c r="A24" s="3">
        <v>1996</v>
      </c>
      <c r="B24" s="4">
        <v>58.3</v>
      </c>
      <c r="C24" s="4">
        <v>62.7</v>
      </c>
      <c r="D24" s="4">
        <v>66.900000000000006</v>
      </c>
      <c r="E24" s="4">
        <f t="shared" si="0"/>
        <v>62.7</v>
      </c>
    </row>
    <row r="25" spans="1:5" x14ac:dyDescent="0.3">
      <c r="A25" s="5">
        <v>1997</v>
      </c>
      <c r="B25" s="6">
        <v>60.2</v>
      </c>
      <c r="C25" s="6">
        <v>64.599999999999994</v>
      </c>
      <c r="D25" s="6">
        <v>68.8</v>
      </c>
      <c r="E25" s="6">
        <f t="shared" si="0"/>
        <v>64.599999999999994</v>
      </c>
    </row>
    <row r="26" spans="1:5" x14ac:dyDescent="0.3">
      <c r="A26" s="3">
        <v>1998</v>
      </c>
      <c r="B26" s="4">
        <v>62.3</v>
      </c>
      <c r="C26" s="4">
        <v>66.599999999999994</v>
      </c>
      <c r="D26" s="4">
        <v>70.599999999999994</v>
      </c>
      <c r="E26" s="4">
        <f t="shared" si="0"/>
        <v>66.599999999999994</v>
      </c>
    </row>
    <row r="27" spans="1:5" x14ac:dyDescent="0.3">
      <c r="A27" s="5">
        <v>1999</v>
      </c>
      <c r="B27" s="6">
        <v>64.400000000000006</v>
      </c>
      <c r="C27" s="6">
        <v>68.599999999999994</v>
      </c>
      <c r="D27" s="6">
        <v>72.5</v>
      </c>
      <c r="E27" s="6">
        <f t="shared" si="0"/>
        <v>68.599999999999994</v>
      </c>
    </row>
    <row r="28" spans="1:5" x14ac:dyDescent="0.3">
      <c r="A28" s="3">
        <v>2000</v>
      </c>
      <c r="B28" s="4">
        <v>67</v>
      </c>
      <c r="C28" s="4">
        <v>71</v>
      </c>
      <c r="D28" s="4">
        <v>74.900000000000006</v>
      </c>
      <c r="E28" s="4">
        <f t="shared" si="0"/>
        <v>71</v>
      </c>
    </row>
    <row r="29" spans="1:5" x14ac:dyDescent="0.3">
      <c r="A29" s="5">
        <v>2001</v>
      </c>
      <c r="B29" s="6">
        <v>69.2</v>
      </c>
      <c r="C29" s="6">
        <v>73.2</v>
      </c>
      <c r="D29" s="6">
        <v>77.099999999999994</v>
      </c>
      <c r="E29" s="6">
        <f t="shared" si="0"/>
        <v>73.2</v>
      </c>
    </row>
    <row r="30" spans="1:5" x14ac:dyDescent="0.3">
      <c r="A30" s="3">
        <v>2002</v>
      </c>
      <c r="B30" s="4">
        <v>71.099999999999994</v>
      </c>
      <c r="C30" s="4">
        <v>75.099999999999994</v>
      </c>
      <c r="D30" s="4">
        <v>78.900000000000006</v>
      </c>
      <c r="E30" s="4">
        <f t="shared" si="0"/>
        <v>75.099999999999994</v>
      </c>
    </row>
    <row r="31" spans="1:5" x14ac:dyDescent="0.3">
      <c r="A31" s="5">
        <v>2003</v>
      </c>
      <c r="B31" s="6">
        <v>72.3</v>
      </c>
      <c r="C31" s="6">
        <v>76.3</v>
      </c>
      <c r="D31" s="6">
        <v>80.099999999999994</v>
      </c>
      <c r="E31" s="6">
        <f t="shared" si="0"/>
        <v>76.3</v>
      </c>
    </row>
    <row r="32" spans="1:5" x14ac:dyDescent="0.3">
      <c r="A32" s="3">
        <v>2004</v>
      </c>
      <c r="B32" s="4">
        <v>73.5</v>
      </c>
      <c r="C32" s="4">
        <v>77.5</v>
      </c>
      <c r="D32" s="4">
        <v>81.2</v>
      </c>
      <c r="E32" s="4">
        <f t="shared" si="0"/>
        <v>77.5</v>
      </c>
    </row>
    <row r="33" spans="1:5" x14ac:dyDescent="0.3">
      <c r="A33" s="5">
        <v>2005</v>
      </c>
      <c r="B33" s="6">
        <v>75</v>
      </c>
      <c r="C33" s="6">
        <v>79</v>
      </c>
      <c r="D33" s="6">
        <v>82.7</v>
      </c>
      <c r="E33" s="6">
        <f t="shared" si="0"/>
        <v>79</v>
      </c>
    </row>
    <row r="34" spans="1:5" x14ac:dyDescent="0.3">
      <c r="A34" s="3">
        <v>2006</v>
      </c>
      <c r="B34" s="4">
        <v>74.8</v>
      </c>
      <c r="C34" s="4">
        <v>78.7</v>
      </c>
      <c r="D34" s="4">
        <v>82.4</v>
      </c>
      <c r="E34" s="4">
        <f t="shared" ref="E34:E65" si="1">MEDIAN(B34:D34)</f>
        <v>78.7</v>
      </c>
    </row>
    <row r="35" spans="1:5" x14ac:dyDescent="0.3">
      <c r="A35" s="5">
        <v>2007</v>
      </c>
      <c r="B35" s="6">
        <v>70.7</v>
      </c>
      <c r="C35" s="6">
        <v>74.5</v>
      </c>
      <c r="D35" s="6">
        <v>78.099999999999994</v>
      </c>
      <c r="E35" s="6">
        <f t="shared" si="1"/>
        <v>74.5</v>
      </c>
    </row>
    <row r="36" spans="1:5" x14ac:dyDescent="0.3">
      <c r="A36" s="3">
        <v>2008</v>
      </c>
      <c r="B36" s="4">
        <v>64.3</v>
      </c>
      <c r="C36" s="4">
        <v>67.900000000000006</v>
      </c>
      <c r="D36" s="4">
        <v>71.400000000000006</v>
      </c>
      <c r="E36" s="4">
        <f t="shared" si="1"/>
        <v>67.900000000000006</v>
      </c>
    </row>
    <row r="37" spans="1:5" x14ac:dyDescent="0.3">
      <c r="A37" s="5">
        <v>2009</v>
      </c>
      <c r="B37" s="6">
        <v>56.6</v>
      </c>
      <c r="C37" s="6">
        <v>60</v>
      </c>
      <c r="D37" s="6">
        <v>63.3</v>
      </c>
      <c r="E37" s="6">
        <f t="shared" si="1"/>
        <v>60</v>
      </c>
    </row>
    <row r="38" spans="1:5" x14ac:dyDescent="0.3">
      <c r="A38" s="3">
        <v>2010</v>
      </c>
      <c r="B38" s="4">
        <v>48.4</v>
      </c>
      <c r="C38" s="4">
        <v>51.6</v>
      </c>
      <c r="D38" s="4">
        <v>54.6</v>
      </c>
      <c r="E38" s="4">
        <f t="shared" si="1"/>
        <v>51.6</v>
      </c>
    </row>
    <row r="39" spans="1:5" x14ac:dyDescent="0.3">
      <c r="A39" s="5">
        <v>2011</v>
      </c>
      <c r="B39" s="6">
        <v>42.6</v>
      </c>
      <c r="C39" s="6">
        <v>45.5</v>
      </c>
      <c r="D39" s="6">
        <v>48.4</v>
      </c>
      <c r="E39" s="6">
        <f t="shared" si="1"/>
        <v>45.5</v>
      </c>
    </row>
    <row r="40" spans="1:5" x14ac:dyDescent="0.3">
      <c r="A40" s="3">
        <v>2012</v>
      </c>
      <c r="B40" s="4">
        <v>38.799999999999997</v>
      </c>
      <c r="C40" s="4">
        <v>41.7</v>
      </c>
      <c r="D40" s="4">
        <v>44.4</v>
      </c>
      <c r="E40" s="4">
        <f t="shared" si="1"/>
        <v>41.7</v>
      </c>
    </row>
    <row r="41" spans="1:5" x14ac:dyDescent="0.3">
      <c r="A41" s="5">
        <v>2013</v>
      </c>
      <c r="B41" s="6">
        <v>37</v>
      </c>
      <c r="C41" s="6">
        <v>39.799999999999997</v>
      </c>
      <c r="D41" s="6">
        <v>42.5</v>
      </c>
      <c r="E41" s="6">
        <f t="shared" si="1"/>
        <v>39.799999999999997</v>
      </c>
    </row>
    <row r="42" spans="1:5" x14ac:dyDescent="0.3">
      <c r="A42" s="3">
        <v>2014</v>
      </c>
      <c r="B42" s="4">
        <v>35.799999999999997</v>
      </c>
      <c r="C42" s="4">
        <v>38.6</v>
      </c>
      <c r="D42" s="4">
        <v>41.3</v>
      </c>
      <c r="E42" s="4">
        <f t="shared" si="1"/>
        <v>38.6</v>
      </c>
    </row>
    <row r="43" spans="1:5" x14ac:dyDescent="0.3">
      <c r="A43" s="5">
        <v>2015</v>
      </c>
      <c r="B43" s="6">
        <v>35</v>
      </c>
      <c r="C43" s="6">
        <v>37.799999999999997</v>
      </c>
      <c r="D43" s="6">
        <v>40.5</v>
      </c>
      <c r="E43" s="6">
        <f t="shared" si="1"/>
        <v>37.799999999999997</v>
      </c>
    </row>
    <row r="44" spans="1:5" x14ac:dyDescent="0.3">
      <c r="A44" s="3">
        <v>2016</v>
      </c>
      <c r="B44" s="4">
        <v>34.4</v>
      </c>
      <c r="C44" s="4">
        <v>37.200000000000003</v>
      </c>
      <c r="D44" s="4">
        <v>39.799999999999997</v>
      </c>
      <c r="E44" s="4">
        <f t="shared" si="1"/>
        <v>37.200000000000003</v>
      </c>
    </row>
    <row r="45" spans="1:5" x14ac:dyDescent="0.3">
      <c r="A45" s="5">
        <v>2017</v>
      </c>
      <c r="B45" s="6">
        <v>33.799999999999997</v>
      </c>
      <c r="C45" s="6">
        <v>36.6</v>
      </c>
      <c r="D45" s="6">
        <v>39.200000000000003</v>
      </c>
      <c r="E45" s="6">
        <f t="shared" si="1"/>
        <v>36.6</v>
      </c>
    </row>
    <row r="46" spans="1:5" x14ac:dyDescent="0.3">
      <c r="A46" s="3">
        <v>2018</v>
      </c>
      <c r="B46" s="4">
        <v>33.299999999999997</v>
      </c>
      <c r="C46" s="4">
        <v>36.1</v>
      </c>
      <c r="D46" s="4">
        <v>38.700000000000003</v>
      </c>
      <c r="E46" s="4">
        <f t="shared" si="1"/>
        <v>36.1</v>
      </c>
    </row>
    <row r="47" spans="1:5" x14ac:dyDescent="0.3">
      <c r="A47" s="5">
        <v>2019</v>
      </c>
      <c r="B47" s="6">
        <v>32.9</v>
      </c>
      <c r="C47" s="6">
        <v>35.6</v>
      </c>
      <c r="D47" s="6">
        <v>38.1</v>
      </c>
      <c r="E47" s="6">
        <f t="shared" si="1"/>
        <v>35.6</v>
      </c>
    </row>
    <row r="48" spans="1:5" x14ac:dyDescent="0.3">
      <c r="A48" s="3">
        <v>2020</v>
      </c>
      <c r="B48" s="4">
        <v>32.5</v>
      </c>
      <c r="C48" s="4">
        <v>35.299999999999997</v>
      </c>
      <c r="D48" s="4">
        <v>37.9</v>
      </c>
      <c r="E48" s="4">
        <f t="shared" si="1"/>
        <v>35.299999999999997</v>
      </c>
    </row>
    <row r="49" spans="1:5" x14ac:dyDescent="0.3">
      <c r="A49" s="5">
        <v>2021</v>
      </c>
      <c r="B49" s="6">
        <v>32</v>
      </c>
      <c r="C49" s="6">
        <v>34.700000000000003</v>
      </c>
      <c r="D49" s="6">
        <v>37.299999999999997</v>
      </c>
      <c r="E49" s="6">
        <f t="shared" si="1"/>
        <v>34.700000000000003</v>
      </c>
    </row>
    <row r="50" spans="1:5" x14ac:dyDescent="0.3">
      <c r="A50" s="3">
        <v>2022</v>
      </c>
      <c r="B50" s="4">
        <v>31.8</v>
      </c>
      <c r="C50" s="4">
        <v>34.5</v>
      </c>
      <c r="D50" s="4">
        <v>37.200000000000003</v>
      </c>
      <c r="E50" s="4">
        <f t="shared" si="1"/>
        <v>34.5</v>
      </c>
    </row>
    <row r="52" spans="1:5" ht="32.85" customHeight="1" x14ac:dyDescent="0.3">
      <c r="A52" s="9"/>
      <c r="B52" s="1"/>
      <c r="C52" s="1"/>
      <c r="D52" s="1"/>
      <c r="E52" s="1"/>
    </row>
  </sheetData>
  <mergeCells count="1">
    <mergeCell ref="B52:E5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zoomScaleNormal="100" workbookViewId="0">
      <pane ySplit="1" topLeftCell="A20" activePane="bottomLeft" state="frozen"/>
      <selection pane="bottomLeft" activeCell="A26" sqref="A26"/>
    </sheetView>
  </sheetViews>
  <sheetFormatPr defaultColWidth="8.6640625" defaultRowHeight="14.4" x14ac:dyDescent="0.3"/>
  <cols>
    <col min="1" max="1" width="10" customWidth="1"/>
    <col min="2" max="4" width="14" customWidth="1"/>
    <col min="5" max="5" width="16" customWidth="1"/>
  </cols>
  <sheetData>
    <row r="1" spans="1:5" ht="41.4" x14ac:dyDescent="0.3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 x14ac:dyDescent="0.3">
      <c r="A2" s="3">
        <v>2000</v>
      </c>
      <c r="B2" s="4">
        <v>66.3973634707</v>
      </c>
      <c r="C2" s="4">
        <v>84.577459747899994</v>
      </c>
      <c r="D2" s="4">
        <v>98.353379029699994</v>
      </c>
      <c r="E2" s="4">
        <f t="shared" ref="E2:E24" si="0">MEDIAN(B2:D2)</f>
        <v>84.577459747899994</v>
      </c>
    </row>
    <row r="3" spans="1:5" x14ac:dyDescent="0.3">
      <c r="A3" s="5">
        <v>2001</v>
      </c>
      <c r="B3" s="6">
        <v>67.221870695199996</v>
      </c>
      <c r="C3" s="6">
        <v>85.101002588300005</v>
      </c>
      <c r="D3" s="6">
        <v>98.387556765200003</v>
      </c>
      <c r="E3" s="6">
        <f t="shared" si="0"/>
        <v>85.101002588300005</v>
      </c>
    </row>
    <row r="4" spans="1:5" x14ac:dyDescent="0.3">
      <c r="A4" s="3">
        <v>2002</v>
      </c>
      <c r="B4" s="4">
        <v>68.046377919600005</v>
      </c>
      <c r="C4" s="4">
        <v>85.633102091200001</v>
      </c>
      <c r="D4" s="4">
        <v>98.421734500699998</v>
      </c>
      <c r="E4" s="4">
        <f t="shared" si="0"/>
        <v>85.633102091200001</v>
      </c>
    </row>
    <row r="5" spans="1:5" x14ac:dyDescent="0.3">
      <c r="A5" s="5">
        <v>2003</v>
      </c>
      <c r="B5" s="6">
        <v>68.870885144100001</v>
      </c>
      <c r="C5" s="6">
        <v>86.162148888399997</v>
      </c>
      <c r="D5" s="6">
        <v>98.455912236299994</v>
      </c>
      <c r="E5" s="6">
        <f t="shared" si="0"/>
        <v>86.162148888399997</v>
      </c>
    </row>
    <row r="6" spans="1:5" x14ac:dyDescent="0.3">
      <c r="A6" s="3">
        <v>2004</v>
      </c>
      <c r="B6" s="4">
        <v>69.695392368599997</v>
      </c>
      <c r="C6" s="4">
        <v>86.682250515099994</v>
      </c>
      <c r="D6" s="4">
        <v>98.490089971800003</v>
      </c>
      <c r="E6" s="4">
        <f t="shared" si="0"/>
        <v>86.682250515099994</v>
      </c>
    </row>
    <row r="7" spans="1:5" x14ac:dyDescent="0.3">
      <c r="A7" s="5">
        <v>2005</v>
      </c>
      <c r="B7" s="6">
        <v>70.519899593000005</v>
      </c>
      <c r="C7" s="6">
        <v>87.192578890899995</v>
      </c>
      <c r="D7" s="6">
        <v>98.5242677074</v>
      </c>
      <c r="E7" s="6">
        <f t="shared" si="0"/>
        <v>87.192578890899995</v>
      </c>
    </row>
    <row r="8" spans="1:5" x14ac:dyDescent="0.3">
      <c r="A8" s="3">
        <v>2006</v>
      </c>
      <c r="B8" s="4">
        <v>71.344406817500001</v>
      </c>
      <c r="C8" s="4">
        <v>87.693784521300003</v>
      </c>
      <c r="D8" s="4">
        <v>98.558445442899995</v>
      </c>
      <c r="E8" s="4">
        <f t="shared" si="0"/>
        <v>87.693784521300003</v>
      </c>
    </row>
    <row r="9" spans="1:5" x14ac:dyDescent="0.3">
      <c r="A9" s="5">
        <v>2007</v>
      </c>
      <c r="B9" s="6">
        <v>72.168914041999997</v>
      </c>
      <c r="C9" s="6">
        <v>88.1859084293</v>
      </c>
      <c r="D9" s="6">
        <v>98.592623178500006</v>
      </c>
      <c r="E9" s="6">
        <f t="shared" si="0"/>
        <v>88.1859084293</v>
      </c>
    </row>
    <row r="10" spans="1:5" x14ac:dyDescent="0.3">
      <c r="A10" s="3">
        <v>2008</v>
      </c>
      <c r="B10" s="4">
        <v>72.993421266499993</v>
      </c>
      <c r="C10" s="4">
        <v>88.669259437999997</v>
      </c>
      <c r="D10" s="4">
        <v>98.626800914</v>
      </c>
      <c r="E10" s="4">
        <f t="shared" si="0"/>
        <v>88.669259437999997</v>
      </c>
    </row>
    <row r="11" spans="1:5" x14ac:dyDescent="0.3">
      <c r="A11" s="5">
        <v>2009</v>
      </c>
      <c r="B11" s="6">
        <v>73.817928490900002</v>
      </c>
      <c r="C11" s="6">
        <v>89.142857654500006</v>
      </c>
      <c r="D11" s="6">
        <v>98.660978649599997</v>
      </c>
      <c r="E11" s="6">
        <f t="shared" si="0"/>
        <v>89.142857654500006</v>
      </c>
    </row>
    <row r="12" spans="1:5" x14ac:dyDescent="0.3">
      <c r="A12" s="3">
        <v>2010</v>
      </c>
      <c r="B12" s="4">
        <v>74.642435715399998</v>
      </c>
      <c r="C12" s="4">
        <v>89.607555381799997</v>
      </c>
      <c r="D12" s="4">
        <v>98.695156385100006</v>
      </c>
      <c r="E12" s="4">
        <f t="shared" si="0"/>
        <v>89.607555381799997</v>
      </c>
    </row>
    <row r="13" spans="1:5" x14ac:dyDescent="0.3">
      <c r="A13" s="5">
        <v>2011</v>
      </c>
      <c r="B13" s="6">
        <v>75.466942939899994</v>
      </c>
      <c r="C13" s="6">
        <v>90.063165101899997</v>
      </c>
      <c r="D13" s="6">
        <v>98.729334120700003</v>
      </c>
      <c r="E13" s="6">
        <f t="shared" si="0"/>
        <v>90.063165101899997</v>
      </c>
    </row>
    <row r="14" spans="1:5" x14ac:dyDescent="0.3">
      <c r="A14" s="3">
        <v>2012</v>
      </c>
      <c r="B14" s="4">
        <v>76.291450164300002</v>
      </c>
      <c r="C14" s="4">
        <v>90.509973541700006</v>
      </c>
      <c r="D14" s="4">
        <v>98.763511856199997</v>
      </c>
      <c r="E14" s="4">
        <f t="shared" si="0"/>
        <v>90.509973541700006</v>
      </c>
    </row>
    <row r="15" spans="1:5" x14ac:dyDescent="0.3">
      <c r="A15" s="5">
        <v>2013</v>
      </c>
      <c r="B15" s="6">
        <v>77.115957388799998</v>
      </c>
      <c r="C15" s="6">
        <v>90.947382869999998</v>
      </c>
      <c r="D15" s="6">
        <v>98.797689591799994</v>
      </c>
      <c r="E15" s="6">
        <f t="shared" si="0"/>
        <v>90.947382869999998</v>
      </c>
    </row>
    <row r="16" spans="1:5" x14ac:dyDescent="0.3">
      <c r="A16" s="3">
        <v>2014</v>
      </c>
      <c r="B16" s="4">
        <v>77.940464613299994</v>
      </c>
      <c r="C16" s="4">
        <v>91.376142883</v>
      </c>
      <c r="D16" s="4">
        <v>98.831867327300003</v>
      </c>
      <c r="E16" s="4">
        <f t="shared" si="0"/>
        <v>91.376142883</v>
      </c>
    </row>
    <row r="17" spans="1:5" x14ac:dyDescent="0.3">
      <c r="A17" s="5">
        <v>2015</v>
      </c>
      <c r="B17" s="6">
        <v>78.764971837700003</v>
      </c>
      <c r="C17" s="6">
        <v>91.796095844700005</v>
      </c>
      <c r="D17" s="6">
        <v>98.8660450629</v>
      </c>
      <c r="E17" s="6">
        <f t="shared" si="0"/>
        <v>91.796095844700005</v>
      </c>
    </row>
    <row r="18" spans="1:5" x14ac:dyDescent="0.3">
      <c r="A18" s="3">
        <v>2016</v>
      </c>
      <c r="B18" s="4">
        <v>79.589479062199999</v>
      </c>
      <c r="C18" s="4">
        <v>92.207311625000003</v>
      </c>
      <c r="D18" s="4">
        <v>98.900222798399994</v>
      </c>
      <c r="E18" s="4">
        <f t="shared" si="0"/>
        <v>92.207311625000003</v>
      </c>
    </row>
    <row r="19" spans="1:5" x14ac:dyDescent="0.3">
      <c r="A19" s="5">
        <v>2017</v>
      </c>
      <c r="B19" s="6">
        <v>80.413986286699995</v>
      </c>
      <c r="C19" s="6">
        <v>92.609682523700002</v>
      </c>
      <c r="D19" s="6">
        <v>98.934400533900003</v>
      </c>
      <c r="E19" s="6">
        <f t="shared" si="0"/>
        <v>92.609682523700002</v>
      </c>
    </row>
    <row r="20" spans="1:5" x14ac:dyDescent="0.3">
      <c r="A20" s="3">
        <v>2018</v>
      </c>
      <c r="B20" s="4">
        <v>81.238493511100003</v>
      </c>
      <c r="C20" s="4">
        <v>93.003290932699997</v>
      </c>
      <c r="D20" s="4">
        <v>98.9685782695</v>
      </c>
      <c r="E20" s="4">
        <f t="shared" si="0"/>
        <v>93.003290932699997</v>
      </c>
    </row>
    <row r="21" spans="1:5" x14ac:dyDescent="0.3">
      <c r="A21" s="5">
        <v>2019</v>
      </c>
      <c r="B21" s="6">
        <v>82.063000735599999</v>
      </c>
      <c r="C21" s="6">
        <v>93.388243690300001</v>
      </c>
      <c r="D21" s="6">
        <v>99.002756004999995</v>
      </c>
      <c r="E21" s="6">
        <f t="shared" si="0"/>
        <v>93.388243690300001</v>
      </c>
    </row>
    <row r="22" spans="1:5" x14ac:dyDescent="0.3">
      <c r="A22" s="3">
        <v>2020</v>
      </c>
      <c r="B22" s="4">
        <v>82.887507960099995</v>
      </c>
      <c r="C22" s="4">
        <v>93.764790292000001</v>
      </c>
      <c r="D22" s="4">
        <v>99.036933740600006</v>
      </c>
      <c r="E22" s="4">
        <f t="shared" si="0"/>
        <v>93.764790292000001</v>
      </c>
    </row>
    <row r="23" spans="1:5" x14ac:dyDescent="0.3">
      <c r="A23" s="5">
        <v>2021</v>
      </c>
      <c r="B23" s="6">
        <v>83.712015184500004</v>
      </c>
      <c r="C23" s="6">
        <v>94.132699712000004</v>
      </c>
      <c r="D23" s="6">
        <v>99.0711114761</v>
      </c>
      <c r="E23" s="6">
        <f t="shared" si="0"/>
        <v>94.132699712000004</v>
      </c>
    </row>
    <row r="24" spans="1:5" x14ac:dyDescent="0.3">
      <c r="A24" s="3">
        <v>2022</v>
      </c>
      <c r="B24" s="4">
        <v>84.536522409</v>
      </c>
      <c r="C24" s="4">
        <v>94.492089351100006</v>
      </c>
      <c r="D24" s="4">
        <v>99.105289211699997</v>
      </c>
      <c r="E24" s="4">
        <f t="shared" si="0"/>
        <v>94.492089351100006</v>
      </c>
    </row>
    <row r="26" spans="1:5" ht="32.85" customHeight="1" x14ac:dyDescent="0.3">
      <c r="A26" s="9"/>
      <c r="B26" s="1"/>
      <c r="C26" s="1"/>
      <c r="D26" s="1"/>
      <c r="E26" s="1"/>
    </row>
  </sheetData>
  <mergeCells count="1"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tabSelected="1" zoomScaleNormal="100" workbookViewId="0">
      <pane ySplit="1" topLeftCell="A17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22" customWidth="1"/>
    <col min="3" max="3" width="14" customWidth="1"/>
    <col min="4" max="4" width="20" customWidth="1"/>
    <col min="5" max="6" width="16" customWidth="1"/>
  </cols>
  <sheetData>
    <row r="1" spans="1:5" ht="27.6" x14ac:dyDescent="0.3">
      <c r="A1" s="2" t="s">
        <v>0</v>
      </c>
      <c r="B1" s="2" t="s">
        <v>16</v>
      </c>
      <c r="C1" s="2" t="s">
        <v>17</v>
      </c>
      <c r="D1" s="2" t="s">
        <v>18</v>
      </c>
      <c r="E1" s="2" t="s">
        <v>19</v>
      </c>
    </row>
    <row r="2" spans="1:5" x14ac:dyDescent="0.3">
      <c r="A2" s="3">
        <v>2001</v>
      </c>
      <c r="B2" s="4">
        <v>3.6</v>
      </c>
      <c r="C2" s="7"/>
      <c r="D2" s="4">
        <v>73.2</v>
      </c>
      <c r="E2" s="4">
        <v>85.101002588300005</v>
      </c>
    </row>
    <row r="3" spans="1:5" x14ac:dyDescent="0.3">
      <c r="A3" s="5">
        <v>2002</v>
      </c>
      <c r="B3" s="6">
        <v>3.5</v>
      </c>
      <c r="C3" s="8"/>
      <c r="D3" s="6">
        <v>75.099999999999994</v>
      </c>
      <c r="E3" s="6">
        <v>85.633102091200001</v>
      </c>
    </row>
    <row r="4" spans="1:5" x14ac:dyDescent="0.3">
      <c r="A4" s="3">
        <v>2003</v>
      </c>
      <c r="B4" s="4">
        <v>3.4</v>
      </c>
      <c r="C4" s="7"/>
      <c r="D4" s="4">
        <v>76.3</v>
      </c>
      <c r="E4" s="4">
        <v>86.162148888399997</v>
      </c>
    </row>
    <row r="5" spans="1:5" x14ac:dyDescent="0.3">
      <c r="A5" s="5">
        <v>2004</v>
      </c>
      <c r="B5" s="6">
        <v>3.3</v>
      </c>
      <c r="C5" s="8"/>
      <c r="D5" s="6">
        <v>77.5</v>
      </c>
      <c r="E5" s="6">
        <v>86.682250515099994</v>
      </c>
    </row>
    <row r="6" spans="1:5" x14ac:dyDescent="0.3">
      <c r="A6" s="3">
        <v>2005</v>
      </c>
      <c r="B6" s="4">
        <v>3.3</v>
      </c>
      <c r="C6" s="7"/>
      <c r="D6" s="4">
        <v>79</v>
      </c>
      <c r="E6" s="4">
        <v>87.192578890899995</v>
      </c>
    </row>
    <row r="7" spans="1:5" x14ac:dyDescent="0.3">
      <c r="A7" s="5">
        <v>2006</v>
      </c>
      <c r="B7" s="6">
        <v>3.4</v>
      </c>
      <c r="C7" s="8"/>
      <c r="D7" s="6">
        <v>78.7</v>
      </c>
      <c r="E7" s="6">
        <v>87.693784521300003</v>
      </c>
    </row>
    <row r="8" spans="1:5" x14ac:dyDescent="0.3">
      <c r="A8" s="3">
        <v>2007</v>
      </c>
      <c r="B8" s="4">
        <v>3.5</v>
      </c>
      <c r="C8" s="7"/>
      <c r="D8" s="4">
        <v>74.5</v>
      </c>
      <c r="E8" s="4">
        <v>88.1859084293</v>
      </c>
    </row>
    <row r="9" spans="1:5" x14ac:dyDescent="0.3">
      <c r="A9" s="5">
        <v>2008</v>
      </c>
      <c r="B9" s="6">
        <v>3.5</v>
      </c>
      <c r="C9" s="8"/>
      <c r="D9" s="6">
        <v>67.900000000000006</v>
      </c>
      <c r="E9" s="6">
        <v>88.669259437999997</v>
      </c>
    </row>
    <row r="10" spans="1:5" x14ac:dyDescent="0.3">
      <c r="A10" s="3">
        <v>2009</v>
      </c>
      <c r="B10" s="4">
        <v>4</v>
      </c>
      <c r="C10" s="7"/>
      <c r="D10" s="4">
        <v>60</v>
      </c>
      <c r="E10" s="4">
        <v>89.142857654500006</v>
      </c>
    </row>
    <row r="11" spans="1:5" x14ac:dyDescent="0.3">
      <c r="A11" s="5">
        <v>2010</v>
      </c>
      <c r="B11" s="6">
        <v>4.5</v>
      </c>
      <c r="C11" s="8">
        <v>0.42533832789999998</v>
      </c>
      <c r="D11" s="6">
        <v>51.6</v>
      </c>
      <c r="E11" s="6">
        <v>89.607555381799997</v>
      </c>
    </row>
    <row r="12" spans="1:5" x14ac:dyDescent="0.3">
      <c r="A12" s="3">
        <v>2011</v>
      </c>
      <c r="B12" s="4">
        <v>5</v>
      </c>
      <c r="C12" s="7"/>
      <c r="D12" s="4">
        <v>45.5</v>
      </c>
      <c r="E12" s="4">
        <v>90.063165101899997</v>
      </c>
    </row>
    <row r="13" spans="1:5" x14ac:dyDescent="0.3">
      <c r="A13" s="5">
        <v>2012</v>
      </c>
      <c r="B13" s="6">
        <v>5.2</v>
      </c>
      <c r="C13" s="8"/>
      <c r="D13" s="6">
        <v>41.7</v>
      </c>
      <c r="E13" s="6">
        <v>90.509973541700006</v>
      </c>
    </row>
    <row r="14" spans="1:5" x14ac:dyDescent="0.3">
      <c r="A14" s="3">
        <v>2013</v>
      </c>
      <c r="B14" s="4">
        <v>5.6</v>
      </c>
      <c r="C14" s="7"/>
      <c r="D14" s="4">
        <v>39.799999999999997</v>
      </c>
      <c r="E14" s="4">
        <v>90.947382869999998</v>
      </c>
    </row>
    <row r="15" spans="1:5" x14ac:dyDescent="0.3">
      <c r="A15" s="5">
        <v>2014</v>
      </c>
      <c r="B15" s="6">
        <v>6.4</v>
      </c>
      <c r="C15" s="8"/>
      <c r="D15" s="6">
        <v>38.6</v>
      </c>
      <c r="E15" s="6">
        <v>91.376142883</v>
      </c>
    </row>
    <row r="16" spans="1:5" x14ac:dyDescent="0.3">
      <c r="A16" s="3">
        <v>2015</v>
      </c>
      <c r="B16" s="4">
        <v>6.6</v>
      </c>
      <c r="C16" s="7"/>
      <c r="D16" s="4">
        <v>37.799999999999997</v>
      </c>
      <c r="E16" s="4">
        <v>91.796095844700005</v>
      </c>
    </row>
    <row r="17" spans="1:5" x14ac:dyDescent="0.3">
      <c r="A17" s="5">
        <v>2016</v>
      </c>
      <c r="B17" s="6">
        <v>6.4</v>
      </c>
      <c r="C17" s="8"/>
      <c r="D17" s="6">
        <v>37.200000000000003</v>
      </c>
      <c r="E17" s="6">
        <v>92.207311625000003</v>
      </c>
    </row>
    <row r="18" spans="1:5" x14ac:dyDescent="0.3">
      <c r="A18" s="3">
        <v>2017</v>
      </c>
      <c r="B18" s="4">
        <v>6.1</v>
      </c>
      <c r="C18" s="7">
        <v>0.40600000000000003</v>
      </c>
      <c r="D18" s="4">
        <v>36.6</v>
      </c>
      <c r="E18" s="4">
        <v>92.609682523700002</v>
      </c>
    </row>
    <row r="19" spans="1:5" x14ac:dyDescent="0.3">
      <c r="A19" s="5">
        <v>2018</v>
      </c>
      <c r="B19" s="6">
        <v>6.4</v>
      </c>
      <c r="C19" s="8">
        <v>0.42254933709999998</v>
      </c>
      <c r="D19" s="6">
        <v>36.1</v>
      </c>
      <c r="E19" s="6">
        <v>93.003290932699997</v>
      </c>
    </row>
    <row r="20" spans="1:5" x14ac:dyDescent="0.3">
      <c r="A20" s="3">
        <v>2019</v>
      </c>
      <c r="B20" s="4">
        <v>7.2</v>
      </c>
      <c r="C20" s="7"/>
      <c r="D20" s="4">
        <v>35.6</v>
      </c>
      <c r="E20" s="4">
        <v>93.388243690300001</v>
      </c>
    </row>
    <row r="21" spans="1:5" x14ac:dyDescent="0.3">
      <c r="A21" s="5">
        <v>2020</v>
      </c>
      <c r="B21" s="6">
        <v>8.6</v>
      </c>
      <c r="C21" s="8">
        <v>0.42545339469999999</v>
      </c>
      <c r="D21" s="6">
        <v>35.299999999999997</v>
      </c>
      <c r="E21" s="6">
        <v>93.764790292000001</v>
      </c>
    </row>
    <row r="22" spans="1:5" x14ac:dyDescent="0.3">
      <c r="A22" s="3">
        <v>2021</v>
      </c>
      <c r="B22" s="4">
        <v>9.4</v>
      </c>
      <c r="C22" s="7"/>
      <c r="D22" s="4">
        <v>34.700000000000003</v>
      </c>
      <c r="E22" s="4">
        <v>94.132699712000004</v>
      </c>
    </row>
    <row r="23" spans="1:5" x14ac:dyDescent="0.3">
      <c r="A23" s="5">
        <v>2022</v>
      </c>
      <c r="B23" s="6">
        <v>10</v>
      </c>
      <c r="C23" s="8"/>
      <c r="D23" s="6">
        <v>34.5</v>
      </c>
      <c r="E23" s="6">
        <v>94.492089351100006</v>
      </c>
    </row>
    <row r="24" spans="1:5" x14ac:dyDescent="0.3">
      <c r="A24" s="3">
        <v>2023</v>
      </c>
      <c r="B24" s="4">
        <v>10</v>
      </c>
      <c r="C24" s="7"/>
      <c r="D24" s="4"/>
      <c r="E24" s="4"/>
    </row>
    <row r="27" spans="1:5" x14ac:dyDescent="0.3">
      <c r="A27" s="10" t="s">
        <v>20</v>
      </c>
    </row>
    <row r="28" spans="1:5" x14ac:dyDescent="0.3">
      <c r="A28" s="11" t="s">
        <v>21</v>
      </c>
      <c r="B28" s="12">
        <f>AVERAGE(B2:B24)</f>
        <v>5.6043478260869568</v>
      </c>
    </row>
    <row r="29" spans="1:5" x14ac:dyDescent="0.3">
      <c r="A29" s="11" t="s">
        <v>22</v>
      </c>
      <c r="B29" s="12">
        <f>B24</f>
        <v>10</v>
      </c>
    </row>
    <row r="30" spans="1:5" x14ac:dyDescent="0.3">
      <c r="A30" s="11" t="s">
        <v>23</v>
      </c>
      <c r="B30" s="12">
        <f>B2</f>
        <v>3.6</v>
      </c>
    </row>
    <row r="31" spans="1:5" x14ac:dyDescent="0.3">
      <c r="A31" s="11" t="s">
        <v>24</v>
      </c>
      <c r="B31" s="13">
        <f>B24-B2</f>
        <v>6.4</v>
      </c>
    </row>
    <row r="32" spans="1:5" x14ac:dyDescent="0.3">
      <c r="A32" s="11" t="s">
        <v>25</v>
      </c>
      <c r="B32" s="14">
        <f>CORREL(B2:B24,C2:C24)</f>
        <v>0.1283362605392748</v>
      </c>
    </row>
  </sheetData>
  <conditionalFormatting sqref="B2:B24">
    <cfRule type="colorScale" priority="2">
      <colorScale>
        <cfvo type="min"/>
        <cfvo type="percentile" val="50"/>
        <cfvo type="max"/>
        <color rgb="FF1A9850"/>
        <color rgb="FFFEE08B"/>
        <color rgb="FFD73027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Cleaned_Undernourishment_ZAF</vt:lpstr>
      <vt:lpstr>Cleaned_HCI_ZAF</vt:lpstr>
      <vt:lpstr>Cleaned_Under5Mortality_ZAF</vt:lpstr>
      <vt:lpstr>Cleaned_WaterAccess_ZAF</vt:lpstr>
      <vt:lpstr>Combined_SA_Timeseries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Banele Clementine Mbali Mahlangu</cp:lastModifiedBy>
  <cp:revision>1</cp:revision>
  <dcterms:created xsi:type="dcterms:W3CDTF">2026-08-22T23:57:48Z</dcterms:created>
  <dcterms:modified xsi:type="dcterms:W3CDTF">2026-08-23T23:52:52Z</dcterms:modified>
  <dc:language>en-US</dc:language>
</cp:coreProperties>
</file>